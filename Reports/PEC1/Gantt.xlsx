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g\Documents\Estudios\MASTER BIOINFORMATICA UOC\Asignaturas\S3\TFM\TFM\Reports\PEC1\"/>
    </mc:Choice>
  </mc:AlternateContent>
  <xr:revisionPtr revIDLastSave="0" documentId="8_{F153EB5B-C82C-4A6B-86D2-3EC83F4DDDC4}" xr6:coauthVersionLast="47" xr6:coauthVersionMax="47" xr10:uidLastSave="{00000000-0000-0000-0000-000000000000}"/>
  <bookViews>
    <workbookView xWindow="-108" yWindow="-108" windowWidth="23256" windowHeight="12456" xr2:uid="{2D93285C-9D16-435A-8199-F116CB13D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<sst xmlns="http://schemas.openxmlformats.org/spreadsheetml/2006/main" count="70" uniqueCount="37">
  <si>
    <t>Nivel</t>
  </si>
  <si>
    <t>Inicio</t>
  </si>
  <si>
    <t>Fin</t>
  </si>
  <si>
    <t>Tipo</t>
  </si>
  <si>
    <t>Preparación e integración de datos</t>
  </si>
  <si>
    <t>Núcleo</t>
  </si>
  <si>
    <t>SUBTAREA</t>
  </si>
  <si>
    <t>Análisis composicional</t>
  </si>
  <si>
    <t>Secundario</t>
  </si>
  <si>
    <t>Filtrado epitelial</t>
  </si>
  <si>
    <t>Generación pseudobulk</t>
  </si>
  <si>
    <t>Análisis diferencial PT vs LN</t>
  </si>
  <si>
    <t>Modelización supervisada</t>
  </si>
  <si>
    <t>Construcción metastatic score</t>
  </si>
  <si>
    <t>Análisis funcional</t>
  </si>
  <si>
    <t>Análisis exploratorios</t>
  </si>
  <si>
    <t>Exploratorio</t>
  </si>
  <si>
    <t>Redacción e integración final</t>
  </si>
  <si>
    <t>—</t>
  </si>
  <si>
    <t>Crítico</t>
  </si>
  <si>
    <t>HITO</t>
  </si>
  <si>
    <t>Documento finalizado</t>
  </si>
  <si>
    <t>Hito</t>
  </si>
  <si>
    <t>ID</t>
  </si>
  <si>
    <t>Nombre</t>
  </si>
  <si>
    <t>Duración</t>
  </si>
  <si>
    <t>Predecesora</t>
  </si>
  <si>
    <t>TAREA</t>
  </si>
  <si>
    <t>Arquitectura celular</t>
  </si>
  <si>
    <t>Reducción dimensional</t>
  </si>
  <si>
    <t>Clustering</t>
  </si>
  <si>
    <t>Anotación celular</t>
  </si>
  <si>
    <t>Identificación firma metastásica</t>
  </si>
  <si>
    <t>Refinamiento firma</t>
  </si>
  <si>
    <t>Selección variables</t>
  </si>
  <si>
    <t>Entrenamiento ML</t>
  </si>
  <si>
    <t>Validación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</si>
</sst>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Hoja1!$I$1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Hoja1!$B$2:$B$21</c:f>
              <c:strCache>
                <c:ptCount val="20"/>
                <c:pt idx="0">
                  <c:v>Preparación e integración de datos</c:v>
                </c:pt>
                <c:pt idx="1">
                  <c:v>Arquitectura celular</c:v>
                </c:pt>
                <c:pt idx="2">
                  <c:v>Reducción dimensional</c:v>
                </c:pt>
                <c:pt idx="3">
                  <c:v>Clustering</c:v>
                </c:pt>
                <c:pt idx="4">
                  <c:v>Anotación celular</c:v>
                </c:pt>
                <c:pt idx="5">
                  <c:v>Análisis composicional</c:v>
                </c:pt>
                <c:pt idx="6">
                  <c:v>Identificación firma metastásica</c:v>
                </c:pt>
                <c:pt idx="7">
                  <c:v>Filtrado epitelial</c:v>
                </c:pt>
                <c:pt idx="8">
                  <c:v>Generación pseudobulk</c:v>
                </c:pt>
                <c:pt idx="9">
                  <c:v>Análisis diferencial PT vs LN</c:v>
                </c:pt>
                <c:pt idx="10">
                  <c:v>Refinamiento firma</c:v>
                </c:pt>
                <c:pt idx="11">
                  <c:v>Modelización supervisada</c:v>
                </c:pt>
                <c:pt idx="12">
                  <c:v>Selección variables</c:v>
                </c:pt>
                <c:pt idx="13">
                  <c:v>Entrenamiento ML</c:v>
                </c:pt>
                <c:pt idx="14">
                  <c:v>Validación modelo</c:v>
                </c:pt>
                <c:pt idx="15">
                  <c:v>Construcción metastatic score</c:v>
                </c:pt>
                <c:pt idx="16">
                  <c:v>Análisis funcional</c:v>
                </c:pt>
                <c:pt idx="17">
                  <c:v>Análisis exploratorios</c:v>
                </c:pt>
                <c:pt idx="18">
                  <c:v>Redacción e integración final</c:v>
                </c:pt>
                <c:pt idx="19">
                  <c:v>Documento finalizado</c:v>
                </c:pt>
              </c:strCache>
            </c:strRef>
          </c:cat>
          <c:val>
            <c:numRef>
              <c:f>Hoja1!$I$2:$I$21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31</c:v>
                </c:pt>
                <c:pt idx="10">
                  <c:v>38</c:v>
                </c:pt>
                <c:pt idx="11">
                  <c:v>45</c:v>
                </c:pt>
                <c:pt idx="12">
                  <c:v>45</c:v>
                </c:pt>
                <c:pt idx="13">
                  <c:v>48</c:v>
                </c:pt>
                <c:pt idx="14">
                  <c:v>55</c:v>
                </c:pt>
                <c:pt idx="15">
                  <c:v>60</c:v>
                </c:pt>
                <c:pt idx="16">
                  <c:v>65</c:v>
                </c:pt>
                <c:pt idx="17">
                  <c:v>70</c:v>
                </c:pt>
                <c:pt idx="18">
                  <c:v>1</c:v>
                </c:pt>
                <c:pt idx="1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1-42A2-AF2A-CA17C057E73E}"/>
            </c:ext>
          </c:extLst>
        </c:ser>
        <c:ser>
          <c:idx val="1"/>
          <c:order val="1"/>
          <c:tx>
            <c:strRef>
              <c:f>Hoja1!$F$1</c:f>
              <c:strCache>
                <c:ptCount val="1"/>
                <c:pt idx="0">
                  <c:v>Duración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11-42A2-AF2A-CA17C057E7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11-42A2-AF2A-CA17C057E7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11-42A2-AF2A-CA17C057E73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11-42A2-AF2A-CA17C057E73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11-42A2-AF2A-CA17C057E73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B11-42A2-AF2A-CA17C057E73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11-42A2-AF2A-CA17C057E73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B11-42A2-AF2A-CA17C057E73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B11-42A2-AF2A-CA17C057E73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B11-42A2-AF2A-CA17C057E73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B11-42A2-AF2A-CA17C057E73E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B11-42A2-AF2A-CA17C057E73E}"/>
              </c:ext>
            </c:extLst>
          </c:dPt>
          <c:dLbls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454972209993442E-3"/>
                      <c:h val="3.3166545698678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2B11-42A2-AF2A-CA17C057E7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Hoja1!$B$2:$B$21</c:f>
              <c:strCache>
                <c:ptCount val="20"/>
                <c:pt idx="0">
                  <c:v>Preparación e integración de datos</c:v>
                </c:pt>
                <c:pt idx="1">
                  <c:v>Arquitectura celular</c:v>
                </c:pt>
                <c:pt idx="2">
                  <c:v>Reducción dimensional</c:v>
                </c:pt>
                <c:pt idx="3">
                  <c:v>Clustering</c:v>
                </c:pt>
                <c:pt idx="4">
                  <c:v>Anotación celular</c:v>
                </c:pt>
                <c:pt idx="5">
                  <c:v>Análisis composicional</c:v>
                </c:pt>
                <c:pt idx="6">
                  <c:v>Identificación firma metastásica</c:v>
                </c:pt>
                <c:pt idx="7">
                  <c:v>Filtrado epitelial</c:v>
                </c:pt>
                <c:pt idx="8">
                  <c:v>Generación pseudobulk</c:v>
                </c:pt>
                <c:pt idx="9">
                  <c:v>Análisis diferencial PT vs LN</c:v>
                </c:pt>
                <c:pt idx="10">
                  <c:v>Refinamiento firma</c:v>
                </c:pt>
                <c:pt idx="11">
                  <c:v>Modelización supervisada</c:v>
                </c:pt>
                <c:pt idx="12">
                  <c:v>Selección variables</c:v>
                </c:pt>
                <c:pt idx="13">
                  <c:v>Entrenamiento ML</c:v>
                </c:pt>
                <c:pt idx="14">
                  <c:v>Validación modelo</c:v>
                </c:pt>
                <c:pt idx="15">
                  <c:v>Construcción metastatic score</c:v>
                </c:pt>
                <c:pt idx="16">
                  <c:v>Análisis funcional</c:v>
                </c:pt>
                <c:pt idx="17">
                  <c:v>Análisis exploratorios</c:v>
                </c:pt>
                <c:pt idx="18">
                  <c:v>Redacción e integración final</c:v>
                </c:pt>
                <c:pt idx="19">
                  <c:v>Documento finalizado</c:v>
                </c:pt>
              </c:strCache>
            </c:strRef>
          </c:cat>
          <c:val>
            <c:numRef>
              <c:f>Hoja1!$F$2:$F$21</c:f>
              <c:numCache>
                <c:formatCode>General</c:formatCode>
                <c:ptCount val="20"/>
                <c:pt idx="0">
                  <c:v>5</c:v>
                </c:pt>
                <c:pt idx="1">
                  <c:v>15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22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15</c:v>
                </c:pt>
                <c:pt idx="12">
                  <c:v>3</c:v>
                </c:pt>
                <c:pt idx="13">
                  <c:v>7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90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1-42A2-AF2A-CA17C057E7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65565616"/>
        <c:axId val="1065567536"/>
      </c:barChart>
      <c:catAx>
        <c:axId val="10655656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5567536"/>
        <c:crosses val="autoZero"/>
        <c:auto val="1"/>
        <c:lblAlgn val="ctr"/>
        <c:lblOffset val="100"/>
        <c:noMultiLvlLbl val="0"/>
      </c:catAx>
      <c:valAx>
        <c:axId val="10655675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556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396672</xdr:colOff>
      <xdr:row>23</xdr:row>
      <xdr:rowOff>84179</xdr:rowOff>
    </xdr:from>
    <xdr:to>
      <xdr:col>21</xdr:col>
      <xdr:colOff>198983</xdr:colOff>
      <xdr:row>46</xdr:row>
      <xdr:rowOff>80370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E355E3-D1BF-13C9-CDE7-E38A3126C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B8E0-F9FF-426A-800A-F0C36DBF84F3}">
  <dimension ref="A1:I35"/>
  <sheetViews>
    <sheetView tabSelected="1" zoomScale="106" workbookViewId="0">
      <selection activeCell="B1" sqref="B1:F21"/>
    </sheetView>
  </sheetViews>
  <sheetFormatPr baseColWidth="10" defaultRowHeight="14.4" x14ac:dyDescent="0.3"/>
  <cols>
    <col min="2" max="2" width="23.21875" customWidth="1"/>
    <col min="5" max="5" width="23" customWidth="1"/>
  </cols>
  <sheetData>
    <row r="1" spans="1:9" x14ac:dyDescent="0.3">
      <c r="A1" s="2" t="s">
        <v>23</v>
      </c>
      <c r="B1" s="2" t="s">
        <v>24</v>
      </c>
      <c r="C1" s="2" t="s">
        <v>0</v>
      </c>
      <c r="D1" s="2" t="s">
        <v>1</v>
      </c>
      <c r="E1" s="2" t="s">
        <v>2</v>
      </c>
      <c r="F1" s="2" t="s">
        <v>25</v>
      </c>
      <c r="G1" s="2" t="s">
        <v>26</v>
      </c>
      <c r="H1" s="2" t="s">
        <v>3</v>
      </c>
      <c r="I1" s="2" t="s">
        <v>1</v>
      </c>
    </row>
    <row r="2" spans="1:9" x14ac:dyDescent="0.3">
      <c r="A2">
        <v>1</v>
      </c>
      <c r="B2" t="s">
        <v>4</v>
      </c>
      <c r="C2" s="1" t="s">
        <v>27</v>
      </c>
      <c r="D2" s="1">
        <v>46085</v>
      </c>
      <c r="E2" s="1">
        <f>D2+F2</f>
        <v>46090</v>
      </c>
      <c r="F2">
        <v>5</v>
      </c>
      <c r="G2" t="s">
        <v>18</v>
      </c>
      <c r="H2" t="s">
        <v>5</v>
      </c>
      <c r="I2">
        <f>D2-$D$2</f>
        <v>0</v>
      </c>
    </row>
    <row r="3" spans="1:9" x14ac:dyDescent="0.3">
      <c r="A3">
        <v>2</v>
      </c>
      <c r="B3" t="s">
        <v>28</v>
      </c>
      <c r="C3" s="1" t="s">
        <v>27</v>
      </c>
      <c r="D3" s="1">
        <v>46090</v>
      </c>
      <c r="E3" s="1">
        <f t="shared" ref="E3:E21" si="0">D3+F3</f>
        <v>46105</v>
      </c>
      <c r="F3">
        <v>15</v>
      </c>
      <c r="G3">
        <v>1</v>
      </c>
      <c r="H3" t="s">
        <v>5</v>
      </c>
      <c r="I3">
        <f t="shared" ref="I3:I21" si="1">D3-$D$2</f>
        <v>5</v>
      </c>
    </row>
    <row r="4" spans="1:9" x14ac:dyDescent="0.3">
      <c r="A4">
        <v>3</v>
      </c>
      <c r="B4" t="s">
        <v>29</v>
      </c>
      <c r="C4" s="1" t="s">
        <v>6</v>
      </c>
      <c r="D4" s="1">
        <v>46090</v>
      </c>
      <c r="E4" s="1">
        <f t="shared" si="0"/>
        <v>46095</v>
      </c>
      <c r="F4">
        <v>5</v>
      </c>
      <c r="G4">
        <v>1</v>
      </c>
      <c r="H4" t="s">
        <v>5</v>
      </c>
      <c r="I4">
        <f t="shared" si="1"/>
        <v>5</v>
      </c>
    </row>
    <row r="5" spans="1:9" x14ac:dyDescent="0.3">
      <c r="A5">
        <v>4</v>
      </c>
      <c r="B5" t="s">
        <v>30</v>
      </c>
      <c r="C5" s="1" t="s">
        <v>6</v>
      </c>
      <c r="D5" s="1">
        <v>46095</v>
      </c>
      <c r="E5" s="1">
        <f t="shared" si="0"/>
        <v>46100</v>
      </c>
      <c r="F5">
        <v>5</v>
      </c>
      <c r="G5">
        <v>3</v>
      </c>
      <c r="H5" t="s">
        <v>5</v>
      </c>
      <c r="I5">
        <f t="shared" si="1"/>
        <v>10</v>
      </c>
    </row>
    <row r="6" spans="1:9" x14ac:dyDescent="0.3">
      <c r="A6">
        <v>5</v>
      </c>
      <c r="B6" t="s">
        <v>31</v>
      </c>
      <c r="C6" s="1" t="s">
        <v>6</v>
      </c>
      <c r="D6" s="1">
        <v>46100</v>
      </c>
      <c r="E6" s="1">
        <f t="shared" si="0"/>
        <v>46105</v>
      </c>
      <c r="F6">
        <v>5</v>
      </c>
      <c r="G6">
        <v>4</v>
      </c>
      <c r="H6" t="s">
        <v>5</v>
      </c>
      <c r="I6">
        <f t="shared" si="1"/>
        <v>15</v>
      </c>
    </row>
    <row r="7" spans="1:9" x14ac:dyDescent="0.3">
      <c r="A7">
        <v>6</v>
      </c>
      <c r="B7" t="s">
        <v>7</v>
      </c>
      <c r="C7" s="1" t="s">
        <v>27</v>
      </c>
      <c r="D7" s="1">
        <v>46105</v>
      </c>
      <c r="E7" s="1">
        <f t="shared" si="0"/>
        <v>46108</v>
      </c>
      <c r="F7">
        <v>3</v>
      </c>
      <c r="G7">
        <v>2</v>
      </c>
      <c r="H7" t="s">
        <v>8</v>
      </c>
      <c r="I7">
        <f t="shared" si="1"/>
        <v>20</v>
      </c>
    </row>
    <row r="8" spans="1:9" x14ac:dyDescent="0.3">
      <c r="A8">
        <v>7</v>
      </c>
      <c r="B8" t="s">
        <v>32</v>
      </c>
      <c r="C8" s="1" t="s">
        <v>27</v>
      </c>
      <c r="D8" s="1">
        <v>46108</v>
      </c>
      <c r="E8" s="1">
        <f t="shared" si="0"/>
        <v>46130</v>
      </c>
      <c r="F8">
        <v>22</v>
      </c>
      <c r="G8">
        <v>2</v>
      </c>
      <c r="H8" t="s">
        <v>5</v>
      </c>
      <c r="I8">
        <f t="shared" si="1"/>
        <v>23</v>
      </c>
    </row>
    <row r="9" spans="1:9" x14ac:dyDescent="0.3">
      <c r="A9">
        <v>8</v>
      </c>
      <c r="B9" t="s">
        <v>9</v>
      </c>
      <c r="C9" s="1" t="s">
        <v>6</v>
      </c>
      <c r="D9" s="1">
        <v>46108</v>
      </c>
      <c r="E9" s="1">
        <f t="shared" si="0"/>
        <v>46111</v>
      </c>
      <c r="F9">
        <v>3</v>
      </c>
      <c r="G9">
        <v>5</v>
      </c>
      <c r="H9" t="s">
        <v>5</v>
      </c>
      <c r="I9">
        <f t="shared" si="1"/>
        <v>23</v>
      </c>
    </row>
    <row r="10" spans="1:9" x14ac:dyDescent="0.3">
      <c r="A10">
        <v>9</v>
      </c>
      <c r="B10" t="s">
        <v>10</v>
      </c>
      <c r="C10" s="1" t="s">
        <v>6</v>
      </c>
      <c r="D10" s="1">
        <v>46111</v>
      </c>
      <c r="E10" s="1">
        <f t="shared" si="0"/>
        <v>46116</v>
      </c>
      <c r="F10">
        <v>5</v>
      </c>
      <c r="G10">
        <v>8</v>
      </c>
      <c r="H10" t="s">
        <v>5</v>
      </c>
      <c r="I10">
        <f t="shared" si="1"/>
        <v>26</v>
      </c>
    </row>
    <row r="11" spans="1:9" x14ac:dyDescent="0.3">
      <c r="A11">
        <v>10</v>
      </c>
      <c r="B11" t="s">
        <v>11</v>
      </c>
      <c r="C11" s="1" t="s">
        <v>6</v>
      </c>
      <c r="D11" s="1">
        <v>46116</v>
      </c>
      <c r="E11" s="1">
        <f t="shared" si="0"/>
        <v>46123</v>
      </c>
      <c r="F11">
        <v>7</v>
      </c>
      <c r="G11">
        <v>9</v>
      </c>
      <c r="H11" t="s">
        <v>5</v>
      </c>
      <c r="I11">
        <f t="shared" si="1"/>
        <v>31</v>
      </c>
    </row>
    <row r="12" spans="1:9" x14ac:dyDescent="0.3">
      <c r="A12">
        <v>11</v>
      </c>
      <c r="B12" t="s">
        <v>33</v>
      </c>
      <c r="C12" s="1" t="s">
        <v>6</v>
      </c>
      <c r="D12" s="1">
        <v>46123</v>
      </c>
      <c r="E12" s="1">
        <f t="shared" si="0"/>
        <v>46130</v>
      </c>
      <c r="F12">
        <v>7</v>
      </c>
      <c r="G12">
        <v>10</v>
      </c>
      <c r="H12" t="s">
        <v>5</v>
      </c>
      <c r="I12">
        <f t="shared" si="1"/>
        <v>38</v>
      </c>
    </row>
    <row r="13" spans="1:9" x14ac:dyDescent="0.3">
      <c r="A13">
        <v>12</v>
      </c>
      <c r="B13" t="s">
        <v>12</v>
      </c>
      <c r="C13" s="1" t="s">
        <v>27</v>
      </c>
      <c r="D13" s="1">
        <v>46130</v>
      </c>
      <c r="E13" s="1">
        <f t="shared" si="0"/>
        <v>46145</v>
      </c>
      <c r="F13">
        <v>15</v>
      </c>
      <c r="G13">
        <v>7</v>
      </c>
      <c r="H13" t="s">
        <v>5</v>
      </c>
      <c r="I13">
        <f t="shared" si="1"/>
        <v>45</v>
      </c>
    </row>
    <row r="14" spans="1:9" x14ac:dyDescent="0.3">
      <c r="A14">
        <v>13</v>
      </c>
      <c r="B14" t="s">
        <v>34</v>
      </c>
      <c r="C14" s="1" t="s">
        <v>6</v>
      </c>
      <c r="D14" s="1">
        <v>46130</v>
      </c>
      <c r="E14" s="1">
        <f t="shared" si="0"/>
        <v>46133</v>
      </c>
      <c r="F14">
        <v>3</v>
      </c>
      <c r="G14">
        <v>11</v>
      </c>
      <c r="H14" t="s">
        <v>5</v>
      </c>
      <c r="I14">
        <f t="shared" si="1"/>
        <v>45</v>
      </c>
    </row>
    <row r="15" spans="1:9" x14ac:dyDescent="0.3">
      <c r="A15">
        <v>14</v>
      </c>
      <c r="B15" t="s">
        <v>35</v>
      </c>
      <c r="C15" s="1" t="s">
        <v>6</v>
      </c>
      <c r="D15" s="1">
        <v>46133</v>
      </c>
      <c r="E15" s="1">
        <f t="shared" si="0"/>
        <v>46140</v>
      </c>
      <c r="F15">
        <v>7</v>
      </c>
      <c r="G15">
        <v>13</v>
      </c>
      <c r="H15" t="s">
        <v>5</v>
      </c>
      <c r="I15">
        <f t="shared" si="1"/>
        <v>48</v>
      </c>
    </row>
    <row r="16" spans="1:9" x14ac:dyDescent="0.3">
      <c r="A16">
        <v>15</v>
      </c>
      <c r="B16" t="s">
        <v>36</v>
      </c>
      <c r="C16" s="1" t="s">
        <v>6</v>
      </c>
      <c r="D16" s="1">
        <v>46140</v>
      </c>
      <c r="E16" s="1">
        <f t="shared" si="0"/>
        <v>46145</v>
      </c>
      <c r="F16">
        <v>5</v>
      </c>
      <c r="G16">
        <v>14</v>
      </c>
      <c r="H16" t="s">
        <v>5</v>
      </c>
      <c r="I16">
        <f t="shared" si="1"/>
        <v>55</v>
      </c>
    </row>
    <row r="17" spans="1:9" x14ac:dyDescent="0.3">
      <c r="A17">
        <v>16</v>
      </c>
      <c r="B17" t="s">
        <v>13</v>
      </c>
      <c r="C17" s="1" t="s">
        <v>27</v>
      </c>
      <c r="D17" s="1">
        <v>46145</v>
      </c>
      <c r="E17" s="1">
        <f t="shared" si="0"/>
        <v>46150</v>
      </c>
      <c r="F17">
        <v>5</v>
      </c>
      <c r="G17">
        <v>12</v>
      </c>
      <c r="H17" t="s">
        <v>5</v>
      </c>
      <c r="I17">
        <f t="shared" si="1"/>
        <v>60</v>
      </c>
    </row>
    <row r="18" spans="1:9" x14ac:dyDescent="0.3">
      <c r="A18">
        <v>17</v>
      </c>
      <c r="B18" t="s">
        <v>14</v>
      </c>
      <c r="C18" s="1" t="s">
        <v>27</v>
      </c>
      <c r="D18" s="1">
        <v>46150</v>
      </c>
      <c r="E18" s="1">
        <f t="shared" si="0"/>
        <v>46155</v>
      </c>
      <c r="F18">
        <v>5</v>
      </c>
      <c r="G18">
        <v>16</v>
      </c>
      <c r="H18" t="s">
        <v>5</v>
      </c>
      <c r="I18">
        <f t="shared" si="1"/>
        <v>65</v>
      </c>
    </row>
    <row r="19" spans="1:9" x14ac:dyDescent="0.3">
      <c r="A19">
        <v>18</v>
      </c>
      <c r="B19" t="s">
        <v>15</v>
      </c>
      <c r="C19" s="1" t="s">
        <v>27</v>
      </c>
      <c r="D19" s="1">
        <v>46155</v>
      </c>
      <c r="E19" s="1">
        <f t="shared" si="0"/>
        <v>46161</v>
      </c>
      <c r="F19">
        <v>6</v>
      </c>
      <c r="G19">
        <v>17</v>
      </c>
      <c r="H19" t="s">
        <v>16</v>
      </c>
      <c r="I19">
        <f t="shared" si="1"/>
        <v>70</v>
      </c>
    </row>
    <row r="20" spans="1:9" x14ac:dyDescent="0.3">
      <c r="A20">
        <v>19</v>
      </c>
      <c r="B20" t="s">
        <v>17</v>
      </c>
      <c r="C20" s="1" t="s">
        <v>27</v>
      </c>
      <c r="D20" s="1">
        <v>46086</v>
      </c>
      <c r="E20" s="1">
        <f t="shared" si="0"/>
        <v>46176</v>
      </c>
      <c r="F20">
        <v>90</v>
      </c>
      <c r="G20">
        <v>2</v>
      </c>
      <c r="H20" t="s">
        <v>19</v>
      </c>
      <c r="I20">
        <f t="shared" si="1"/>
        <v>1</v>
      </c>
    </row>
    <row r="21" spans="1:9" x14ac:dyDescent="0.3">
      <c r="A21">
        <v>20</v>
      </c>
      <c r="B21" t="s">
        <v>21</v>
      </c>
      <c r="C21" s="1" t="s">
        <v>20</v>
      </c>
      <c r="D21" s="1">
        <v>46175</v>
      </c>
      <c r="E21" s="1">
        <f t="shared" si="0"/>
        <v>46176</v>
      </c>
      <c r="F21">
        <v>1</v>
      </c>
      <c r="G21">
        <v>19</v>
      </c>
      <c r="H21" t="s">
        <v>22</v>
      </c>
      <c r="I21">
        <f t="shared" si="1"/>
        <v>90</v>
      </c>
    </row>
    <row r="22" spans="1:9" x14ac:dyDescent="0.3">
      <c r="C22" s="1"/>
      <c r="D22" s="1"/>
    </row>
    <row r="23" spans="1:9" x14ac:dyDescent="0.3">
      <c r="C23" s="1"/>
      <c r="D23" s="1"/>
    </row>
    <row r="24" spans="1:9" x14ac:dyDescent="0.3">
      <c r="C24" s="1"/>
      <c r="D24" s="1"/>
    </row>
    <row r="25" spans="1:9" x14ac:dyDescent="0.3">
      <c r="C25" s="1"/>
      <c r="D25" s="1"/>
    </row>
    <row r="26" spans="1:9" x14ac:dyDescent="0.3">
      <c r="C26" s="1"/>
      <c r="D26" s="1"/>
    </row>
    <row r="27" spans="1:9" x14ac:dyDescent="0.3">
      <c r="C27" s="1"/>
      <c r="D27" s="1"/>
    </row>
    <row r="28" spans="1:9" x14ac:dyDescent="0.3">
      <c r="C28" s="1"/>
      <c r="D28" s="1"/>
    </row>
    <row r="29" spans="1:9" x14ac:dyDescent="0.3">
      <c r="C29" s="1"/>
      <c r="D29" s="1"/>
    </row>
    <row r="30" spans="1:9" x14ac:dyDescent="0.3">
      <c r="C30" s="1"/>
      <c r="D30" s="1"/>
    </row>
    <row r="31" spans="1:9" x14ac:dyDescent="0.3">
      <c r="C31" s="1"/>
      <c r="D31" s="1"/>
    </row>
    <row r="32" spans="1:9" x14ac:dyDescent="0.3">
      <c r="C32" s="1"/>
      <c r="D32" s="1"/>
    </row>
    <row r="33" spans="3:4" x14ac:dyDescent="0.3">
      <c r="C33" s="1"/>
      <c r="D33" s="1"/>
    </row>
    <row r="34" spans="3:4" x14ac:dyDescent="0.3">
      <c r="C34" s="1"/>
      <c r="D34" s="1"/>
    </row>
    <row r="35" spans="3:4" x14ac:dyDescent="0.3">
      <c r="C35" s="1"/>
      <c r="D35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 Gonzalez</dc:creator>
  <cp:lastModifiedBy>Paco Gonzalez</cp:lastModifiedBy>
  <dcterms:created xsi:type="dcterms:W3CDTF">2026-03-03T16:38:43Z</dcterms:created>
  <dcterms:modified xsi:type="dcterms:W3CDTF">2026-03-04T09:50:15Z</dcterms:modified>
</cp:coreProperties>
</file>